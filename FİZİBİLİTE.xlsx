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18"/>
  <workbookPr/>
  <mc:AlternateContent xmlns:mc="http://schemas.openxmlformats.org/markup-compatibility/2006">
    <mc:Choice Requires="x15">
      <x15ac:absPath xmlns:x15ac="http://schemas.microsoft.com/office/spreadsheetml/2010/11/ac" url="C:\Users\Gamze\OneDrive\Masaüstü\"/>
    </mc:Choice>
  </mc:AlternateContent>
  <xr:revisionPtr revIDLastSave="0" documentId="11_EBA94A2F89E24272B7D8D7436BF01C8A0C971792" xr6:coauthVersionLast="47" xr6:coauthVersionMax="47" xr10:uidLastSave="{00000000-0000-0000-0000-000000000000}"/>
  <bookViews>
    <workbookView xWindow="0" yWindow="0" windowWidth="20490" windowHeight="7665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F17" i="1"/>
  <c r="E17" i="1"/>
  <c r="D17" i="1"/>
  <c r="D19" i="1" s="1"/>
  <c r="E19" i="1" s="1"/>
  <c r="F19" i="1" s="1"/>
  <c r="G19" i="1" s="1"/>
  <c r="D8" i="1"/>
  <c r="D6" i="1"/>
  <c r="D23" i="1" s="1"/>
  <c r="G6" i="1" l="1"/>
  <c r="G23" i="1" s="1"/>
  <c r="C17" i="1"/>
  <c r="F6" i="1" l="1"/>
  <c r="F23" i="1" s="1"/>
  <c r="F24" i="1" s="1"/>
  <c r="E6" i="1"/>
  <c r="C6" i="1"/>
  <c r="E23" i="1" l="1"/>
  <c r="E8" i="1"/>
  <c r="F8" i="1" s="1"/>
  <c r="G8" i="1" s="1"/>
  <c r="I8" i="1" s="1"/>
  <c r="I19" i="1"/>
  <c r="I21" i="1" l="1"/>
</calcChain>
</file>

<file path=xl/sharedStrings.xml><?xml version="1.0" encoding="utf-8"?>
<sst xmlns="http://schemas.openxmlformats.org/spreadsheetml/2006/main" count="20" uniqueCount="19">
  <si>
    <t>0.YIL</t>
  </si>
  <si>
    <t>1.YIL</t>
  </si>
  <si>
    <t>2.YIL</t>
  </si>
  <si>
    <t>3.YIL</t>
  </si>
  <si>
    <t>4.YIL</t>
  </si>
  <si>
    <t>NET EKONOMİK YARAR</t>
  </si>
  <si>
    <t>ENFLASYON</t>
  </si>
  <si>
    <t>NET YARAR</t>
  </si>
  <si>
    <t>TOPLAM GELİR</t>
  </si>
  <si>
    <t>Tek Seferlik Maliyet</t>
  </si>
  <si>
    <t>MALİYETLER</t>
  </si>
  <si>
    <t>NET MALİYET</t>
  </si>
  <si>
    <t>TOPAM MALİYET</t>
  </si>
  <si>
    <t>BREAK-EVEN ANALYSIS</t>
  </si>
  <si>
    <t>GELİR(KALAN)</t>
  </si>
  <si>
    <t>GİDER(-)</t>
  </si>
  <si>
    <t>(-)25.500</t>
  </si>
  <si>
    <t>(-)8.374</t>
  </si>
  <si>
    <t>Kendini amorti etme süresi 1-2 yıl arası.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</si>
</sst>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3" fontId="0" fillId="0" borderId="0" xfId="0" applyNumberFormat="1" applyAlignment="1">
      <alignment horizontal="center" vertical="center"/>
    </xf>
    <xf numFmtId="0" fontId="0" fillId="0" borderId="4" xfId="0" applyBorder="1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1" xfId="0" applyBorder="1"/>
    <xf numFmtId="3" fontId="0" fillId="0" borderId="0" xfId="0" applyNumberFormat="1"/>
    <xf numFmtId="3" fontId="1" fillId="0" borderId="0" xfId="0" applyNumberFormat="1" applyFont="1"/>
    <xf numFmtId="3" fontId="1" fillId="0" borderId="7" xfId="0" applyNumberFormat="1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27"/>
  <sheetViews>
    <sheetView tabSelected="1" topLeftCell="A5" workbookViewId="0">
      <selection activeCell="B27" sqref="B27"/>
    </sheetView>
  </sheetViews>
  <sheetFormatPr defaultRowHeight="15"/>
  <cols>
    <col min="2" max="2" width="37.140625" customWidth="1"/>
    <col min="11" max="11" width="36.42578125" bestFit="1" customWidth="1"/>
  </cols>
  <sheetData>
    <row r="3" spans="2:12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2:12">
      <c r="B4" s="3" t="s">
        <v>5</v>
      </c>
      <c r="C4" s="1">
        <v>0</v>
      </c>
      <c r="D4" s="5">
        <v>60000</v>
      </c>
      <c r="E4" s="5">
        <v>60000</v>
      </c>
      <c r="F4" s="5">
        <v>60000</v>
      </c>
      <c r="G4" s="5">
        <v>60000</v>
      </c>
    </row>
    <row r="5" spans="2:12">
      <c r="B5" s="4" t="s">
        <v>6</v>
      </c>
      <c r="C5">
        <v>1000</v>
      </c>
      <c r="D5">
        <v>0.85629999999999995</v>
      </c>
      <c r="E5">
        <v>0.8256</v>
      </c>
      <c r="F5">
        <v>0.79610000000000003</v>
      </c>
      <c r="G5">
        <v>0.77890000000000004</v>
      </c>
    </row>
    <row r="6" spans="2:12">
      <c r="B6" s="4" t="s">
        <v>7</v>
      </c>
      <c r="C6" s="6">
        <f>C4*C5</f>
        <v>0</v>
      </c>
      <c r="D6" s="6">
        <f>D4*D5</f>
        <v>51378</v>
      </c>
      <c r="E6" s="6">
        <f>E4*E5</f>
        <v>49536</v>
      </c>
      <c r="F6" s="6">
        <f>F4*F5</f>
        <v>47766</v>
      </c>
      <c r="G6" s="6">
        <f>G4*G5</f>
        <v>46734</v>
      </c>
    </row>
    <row r="8" spans="2:12">
      <c r="B8" t="s">
        <v>8</v>
      </c>
      <c r="C8">
        <v>0</v>
      </c>
      <c r="D8">
        <f>D4*D5</f>
        <v>51378</v>
      </c>
      <c r="E8">
        <f>D8+E6</f>
        <v>100914</v>
      </c>
      <c r="F8">
        <f>E8+F6</f>
        <v>148680</v>
      </c>
      <c r="G8">
        <f>F8+G6</f>
        <v>195414</v>
      </c>
      <c r="I8" s="7">
        <f>G8+F8+E8+D8+C8</f>
        <v>496386</v>
      </c>
      <c r="L8" s="11"/>
    </row>
    <row r="11" spans="2:12">
      <c r="B11" t="s">
        <v>9</v>
      </c>
      <c r="C11" s="5">
        <v>25500</v>
      </c>
    </row>
    <row r="15" spans="2:12">
      <c r="B15" t="s">
        <v>10</v>
      </c>
      <c r="C15" s="1">
        <v>0</v>
      </c>
      <c r="D15" s="5">
        <v>40000</v>
      </c>
      <c r="E15" s="5">
        <v>40000</v>
      </c>
      <c r="F15" s="5">
        <v>40000</v>
      </c>
      <c r="G15" s="5">
        <v>40000</v>
      </c>
    </row>
    <row r="16" spans="2:12">
      <c r="B16" s="8" t="s">
        <v>6</v>
      </c>
      <c r="C16" s="9">
        <v>1000</v>
      </c>
      <c r="D16" s="10">
        <v>0.85629999999999995</v>
      </c>
      <c r="E16" s="10">
        <v>0.8256</v>
      </c>
      <c r="F16" s="10">
        <v>0.79610000000000003</v>
      </c>
      <c r="G16" s="10">
        <v>0.77890000000000004</v>
      </c>
    </row>
    <row r="17" spans="2:13">
      <c r="B17" s="4" t="s">
        <v>11</v>
      </c>
      <c r="C17">
        <f>C15*C16</f>
        <v>0</v>
      </c>
      <c r="D17">
        <f>D15*D16</f>
        <v>34252</v>
      </c>
      <c r="E17">
        <f>E15*E16</f>
        <v>33024</v>
      </c>
      <c r="F17">
        <f>F15*F16</f>
        <v>31844</v>
      </c>
      <c r="G17">
        <f>G15*G16</f>
        <v>31156</v>
      </c>
    </row>
    <row r="18" spans="2:13">
      <c r="G18" s="11"/>
    </row>
    <row r="19" spans="2:13" ht="15.75" thickBot="1">
      <c r="B19" t="s">
        <v>12</v>
      </c>
      <c r="C19" s="5">
        <v>25500</v>
      </c>
      <c r="D19" s="11">
        <f>C19+D17</f>
        <v>59752</v>
      </c>
      <c r="E19" s="11">
        <f>D19+E17</f>
        <v>92776</v>
      </c>
      <c r="F19" s="11">
        <f>E19+F17</f>
        <v>124620</v>
      </c>
      <c r="G19" s="11">
        <f>F19+G17</f>
        <v>155776</v>
      </c>
      <c r="I19" s="13">
        <f>(C19+D19+E19+F19+G19)</f>
        <v>458424</v>
      </c>
    </row>
    <row r="21" spans="2:13">
      <c r="I21" s="12">
        <f>I8-I19</f>
        <v>37962</v>
      </c>
    </row>
    <row r="22" spans="2:13">
      <c r="B22" s="7" t="s">
        <v>13</v>
      </c>
      <c r="K22" s="11"/>
    </row>
    <row r="23" spans="2:13">
      <c r="B23" t="s">
        <v>14</v>
      </c>
      <c r="C23">
        <v>0</v>
      </c>
      <c r="D23">
        <f>D6-D17</f>
        <v>17126</v>
      </c>
      <c r="E23">
        <f>E6-E17</f>
        <v>16512</v>
      </c>
      <c r="F23">
        <f>F6-F17</f>
        <v>15922</v>
      </c>
      <c r="G23">
        <f>G6-G17</f>
        <v>15578</v>
      </c>
      <c r="M23" s="11"/>
    </row>
    <row r="24" spans="2:13">
      <c r="B24" t="s">
        <v>15</v>
      </c>
      <c r="C24" s="11" t="s">
        <v>16</v>
      </c>
      <c r="D24" s="11" t="s">
        <v>17</v>
      </c>
      <c r="E24" s="11">
        <v>8138</v>
      </c>
      <c r="F24" s="11">
        <f>F23+E24</f>
        <v>24060</v>
      </c>
      <c r="G24" s="11">
        <v>37962</v>
      </c>
    </row>
    <row r="25" spans="2:13">
      <c r="L25" s="11"/>
    </row>
    <row r="26" spans="2:13" ht="15.75" thickBot="1"/>
    <row r="27" spans="2:13" ht="15.75" thickBot="1">
      <c r="B27" s="14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NouS/TncTR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Gamze</dc:creator>
  <cp:keywords/>
  <dc:description/>
  <cp:lastModifiedBy>BEYZA CİVİL</cp:lastModifiedBy>
  <cp:revision/>
  <dcterms:created xsi:type="dcterms:W3CDTF">2021-12-14T20:06:01Z</dcterms:created>
  <dcterms:modified xsi:type="dcterms:W3CDTF">2021-12-22T11:58:13Z</dcterms:modified>
  <cp:category/>
  <cp:contentStatus/>
</cp:coreProperties>
</file>